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560d746b594f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4d886bcf0e7a4b93"/>
    <x:sheet xmlns:r="http://schemas.openxmlformats.org/officeDocument/2006/relationships" name="Bảng Quyết định (nếu có)" sheetId="2" r:id="R30b7b473cada480b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<x:sst xmlns:x="http://schemas.openxmlformats.org/spreadsheetml/2006/main">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</x:sst>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ffbc3ff4344da5" /><Relationship Type="http://schemas.openxmlformats.org/officeDocument/2006/relationships/theme" Target="/xl/theme/theme1.xml" Id="R743972df555244a6" /><Relationship Type="http://schemas.openxmlformats.org/officeDocument/2006/relationships/sharedStrings" Target="/xl/sharedStrings.xml" Id="Rc194ef178ab742cf" /><Relationship Type="http://schemas.openxmlformats.org/officeDocument/2006/relationships/worksheet" Target="/xl/worksheets/sheet1.xml" Id="R4d886bcf0e7a4b93" /><Relationship Type="http://schemas.openxmlformats.org/officeDocument/2006/relationships/worksheet" Target="/xl/worksheets/sheet2.xml" Id="R30b7b473cada480b" /><Relationship Type="http://schemas.microsoft.com/office/2017/10/relationships/person" Target="/xl/persons/person.xml" Id="Rc94d21dc7d644fe5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2e4a1fd44224e98" /><Relationship Type="http://schemas.openxmlformats.org/officeDocument/2006/relationships/vmlDrawing" Target="/xl/drawings/vmldrawing.vml" Id="R576d6af8c0e04b75" /><Relationship Type="http://schemas.openxmlformats.org/officeDocument/2006/relationships/drawing" Target="/xl/drawings/drawing1.xml" Id="R388e131cd81449e9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144</x:v>
      </x:c>
      <x:c r="B5" s="16" t="n">
        <x:f>COUNTIF(I9:I998,"Fail")</x:f>
        <x:v>0</x:v>
      </x:c>
      <x:c r="C5" s="56" t="n">
        <x:f>G5-E5-B5-A5</x:f>
        <x:v>2</x:v>
      </x:c>
      <x:c r="D5" s="57"/>
      <x:c r="E5" s="56" t="n">
        <x:f>COUNTIF(I$9:I$998,"N/A")</x:f>
        <x:v>0</x:v>
      </x:c>
      <x:c r="F5" s="57"/>
      <x:c r="G5" s="50" t="n">
        <x:v>146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 t="str">
        <x:v>TC_VIZI_145</x:v>
      </x:c>
      <x:c r="B153" s="39" t="str">
        <x:v>Floating toolbar tool state 56B</x:v>
      </x:c>
      <x:c r="C153" s="5" t="str">
        <x:v>Xac minh toolbar editor co state chon tool cho Select, Text, Shape, Image, QR va Icon</x:v>
      </x:c>
      <x:c r="D153" s="5" t="str">
        <x:v>Frontend va backend local dang chay; tai khoan va draft QA tam</x:v>
      </x:c>
      <x:c r="E153" s="5" t="str">
        <x:v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v>
      </x:c>
      <x:c r="F153" s="39" t="str">
        <x:v>Toolbar co dung mot active tool; moi tool click duoc va Properties Tool cap nhat dung tren desktop/mobile</x:v>
      </x:c>
      <x:c r="G153" s="5" t="str">
        <x:v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v>
      </x:c>
      <x:c r="H153" s="5" t="str">
        <x:v>Pass</x:v>
      </x:c>
      <x:c r="I153" s="5" t="n">
        <x:v>46210</x:v>
      </x:c>
      <x:c r="J153" s="5" t="str">
        <x:v>Frontend</x:v>
      </x:c>
      <x:c r="K153" s="5" t="str">
        <x:v>Build, Browser URL/title/console, Playwright toolbar desktop/mobile, DB readback</x:v>
      </x:c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 t="str">
        <x:v>TC_VIZI_146</x:v>
      </x:c>
      <x:c r="B154" s="39" t="str">
        <x:v>Bottom quick color bar 56C</x:v>
      </x:c>
      <x:c r="C154" s="5" t="str">
        <x:v>Xac minh thanh mau nhanh doi duoc fill/stroke tu recent colors va luu vao design JSON</x:v>
      </x:c>
      <x:c r="D154" s="5" t="str">
        <x:v>Frontend va backend local dang chay; tai khoan va draft QA tam</x:v>
      </x:c>
      <x:c r="E154" s="5" t="str">
        <x:v>1. Chay npm run build
2. Browser mo /editor/1 lay URL/title/console
3. Playwright tao draft va mo /editor/:designId
4. Kiem tra quick color bar co Fill/Stroke va 6 swatch
5. Doi fill #A87F33 va stroke #2F281C cho layer 1
6. Save, reload, API readback, mobile va cleanup QA</x:v>
      </x:c>
      <x:c r="F154" s="39" t="str">
        <x:v>Quick color bar hien o day workspace; doi fill/stroke layer 1, render cap nhat, save/reload va API giu mau</x:v>
      </x:c>
      <x:c r="G154" s="5" t="str">
        <x:v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v>
      </x:c>
      <x:c r="H154" s="5" t="str">
        <x:v>Pass</x:v>
      </x:c>
      <x:c r="I154" s="5" t="n">
        <x:v>46210</x:v>
      </x:c>
      <x:c r="J154" s="5" t="str">
        <x:v>Frontend</x:v>
      </x:c>
      <x:c r="K154" s="5" t="str">
        <x:v>Build, Browser URL/title/console, Playwright quick color desktop/mobile/API, DB readback</x:v>
      </x:c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/>
      <x:c r="B155" s="39"/>
      <x:c r="C155" s="5"/>
      <x:c r="D155" s="5"/>
      <x:c r="E155" s="5"/>
      <x:c r="F155" s="39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/>
      <x:c r="B156" s="39"/>
      <x:c r="C156" s="5"/>
      <x:c r="D156" s="5"/>
      <x:c r="E156" s="5"/>
      <x:c r="F156" s="39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/>
      <x:c r="B157" s="39"/>
      <x:c r="C157" s="5"/>
      <x:c r="D157" s="5"/>
      <x:c r="E157" s="5"/>
      <x:c r="F157" s="39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/>
      <x:c r="B158" s="39"/>
      <x:c r="C158" s="5"/>
      <x:c r="D158" s="5"/>
      <x:c r="E158" s="5"/>
      <x:c r="F158" s="39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/>
      <x:c r="B159" s="39"/>
      <x:c r="C159" s="5"/>
      <x:c r="D159" s="5"/>
      <x:c r="E159" s="5"/>
      <x:c r="F159" s="39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/>
      <x:c r="B160" s="39"/>
      <x:c r="C160" s="5"/>
      <x:c r="D160" s="5"/>
      <x:c r="E160" s="5"/>
      <x:c r="F160" s="39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/>
      <x:c r="B161" s="39"/>
      <x:c r="C161" s="5"/>
      <x:c r="D161" s="5"/>
      <x:c r="E161" s="5"/>
      <x:c r="F161" s="39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/>
      <x:c r="B162" s="39"/>
      <x:c r="C162" s="5"/>
      <x:c r="D162" s="5"/>
      <x:c r="E162" s="5"/>
      <x:c r="F162" s="39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388e131cd81449e9"/>
  <x:legacyDrawing xmlns:r="http://schemas.openxmlformats.org/officeDocument/2006/relationships" r:id="R576d6af8c0e04b75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